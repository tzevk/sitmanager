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964CC69-D731-40E1-9FC6-787D835EA3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Sheet1!$B$2:$F$51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21" i="1" l="1"/>
  <c r="F23" i="1" s="1"/>
  <c r="F31" i="1" s="1"/>
  <c r="F32" i="1" s="1"/>
  <c r="F33" i="1" s="1"/>
  <c r="E21" i="1"/>
  <c r="D21" i="1"/>
</calcChain>
</file>

<file path=xl/sharedStrings.xml><?xml version="1.0" encoding="utf-8"?>
<sst xmlns="http://schemas.openxmlformats.org/spreadsheetml/2006/main" count="115" uniqueCount="96">
  <si>
    <t>Total Cost (Rs.)</t>
  </si>
  <si>
    <t>A</t>
  </si>
  <si>
    <t>B</t>
  </si>
  <si>
    <t>Add : GST @ 18%</t>
  </si>
  <si>
    <t xml:space="preserve">Proforma Invoice </t>
  </si>
  <si>
    <t xml:space="preserve">DISCRIPTION </t>
  </si>
  <si>
    <t>Bank details for Payment &amp; Terms:</t>
  </si>
  <si>
    <t>Extend of training hours will be charged extra on pro-rata basis</t>
  </si>
  <si>
    <t>50% along with PO and Balance immediately after submission of Invoice.</t>
  </si>
  <si>
    <t>Invoice will be issued immediately after completion of the training.</t>
  </si>
  <si>
    <t>Payment to be made through NEFT/Cheque/DD.</t>
  </si>
  <si>
    <t>Late Payment fee will be charged from 7th day of the date of Invoice.</t>
  </si>
  <si>
    <t>If training venue is SIT premises, then extra charges will be 25% on cost of per day charges.</t>
  </si>
  <si>
    <t>presicastelino@suvidya.ac.in</t>
  </si>
  <si>
    <t>manasipanchal@suvidya.ac.in</t>
  </si>
  <si>
    <t>santoshmestry@suvidya.ac.in</t>
  </si>
  <si>
    <t>C</t>
  </si>
  <si>
    <t>D</t>
  </si>
  <si>
    <t>E</t>
  </si>
  <si>
    <t>White board 12”x 4” with graphical background,</t>
  </si>
  <si>
    <t xml:space="preserve">White Board Duster </t>
  </si>
  <si>
    <t xml:space="preserve">White board marker pens – Blue, Black, Green &amp; Red </t>
  </si>
  <si>
    <t>Projector</t>
  </si>
  <si>
    <t>Payment To</t>
  </si>
  <si>
    <t>Bank Name</t>
  </si>
  <si>
    <t>Suvidya Institute of Technology Pvt. Ltd.</t>
  </si>
  <si>
    <t>Axis Bank</t>
  </si>
  <si>
    <t>Account No.</t>
  </si>
  <si>
    <t>911020002988600</t>
  </si>
  <si>
    <t>IFS Code</t>
  </si>
  <si>
    <t>Swift Code</t>
  </si>
  <si>
    <t>GST. No.</t>
  </si>
  <si>
    <t xml:space="preserve">                                               </t>
  </si>
  <si>
    <t>UTIB0001244</t>
  </si>
  <si>
    <t>AXISINBB028</t>
  </si>
  <si>
    <t>27AAPCS0767C1Z7</t>
  </si>
  <si>
    <t>PAN Card No</t>
  </si>
  <si>
    <t>AAPCS0767C</t>
  </si>
  <si>
    <t>Ms. Presi</t>
  </si>
  <si>
    <t>Mob-9167217889</t>
  </si>
  <si>
    <t>Ms. Manasi</t>
  </si>
  <si>
    <t>Mr. Santosh</t>
  </si>
  <si>
    <t xml:space="preserve">SIT Condinator Team :  </t>
  </si>
  <si>
    <t>Mob- 8291975123</t>
  </si>
  <si>
    <t>Mob- 9167219401</t>
  </si>
  <si>
    <t>Date</t>
  </si>
  <si>
    <t>Client Ref.</t>
  </si>
  <si>
    <t>Enquiry Date</t>
  </si>
  <si>
    <t>Pro. Invoice No.</t>
  </si>
  <si>
    <t>Department</t>
  </si>
  <si>
    <t>For Suvidya Institute of Technology Pvt. Ltd
Authorised Signatory</t>
  </si>
  <si>
    <t xml:space="preserve">Training Execution
</t>
  </si>
  <si>
    <t>Training Cost After GST</t>
  </si>
  <si>
    <t>Total Days</t>
  </si>
  <si>
    <t>Training Arrangement Required at Company Premises :</t>
  </si>
  <si>
    <t>Training room &amp; PC to Trainer</t>
  </si>
  <si>
    <t>--</t>
  </si>
  <si>
    <t>OTHER EXPENSES FOR TRAINER</t>
  </si>
  <si>
    <t xml:space="preserve">Expenses Cost </t>
  </si>
  <si>
    <t xml:space="preserve">Training Cost </t>
  </si>
  <si>
    <t>Training Cost Before GST</t>
  </si>
  <si>
    <t>paragmestry@suvidya.ac.in</t>
  </si>
  <si>
    <r>
      <t xml:space="preserve">Training Mode         :  </t>
    </r>
    <r>
      <rPr>
        <sz val="12"/>
        <rFont val="Calibri"/>
        <family val="2"/>
        <scheme val="minor"/>
      </rPr>
      <t xml:space="preserve">Offline </t>
    </r>
  </si>
  <si>
    <t>Piping, Electrical &amp; Civil</t>
  </si>
  <si>
    <t xml:space="preserve">Common </t>
  </si>
  <si>
    <t xml:space="preserve">Mechanical Static &amp; Fabrication </t>
  </si>
  <si>
    <t xml:space="preserve">Less : Discount </t>
  </si>
  <si>
    <t>Training Cost After Discount</t>
  </si>
  <si>
    <r>
      <t xml:space="preserve">Air Charges To &amp; From </t>
    </r>
    <r>
      <rPr>
        <b/>
        <sz val="12"/>
        <rFont val="Calibri"/>
        <family val="2"/>
        <scheme val="minor"/>
      </rPr>
      <t>(By Company)</t>
    </r>
  </si>
  <si>
    <t>By TCE</t>
  </si>
  <si>
    <r>
      <t xml:space="preserve">Airport Pick Up &amp; Drop Return Fare </t>
    </r>
    <r>
      <rPr>
        <b/>
        <sz val="12"/>
        <rFont val="Calibri"/>
        <family val="2"/>
        <scheme val="minor"/>
      </rPr>
      <t xml:space="preserve"> (By Company)</t>
    </r>
  </si>
  <si>
    <r>
      <t xml:space="preserve">Trainer Lunch </t>
    </r>
    <r>
      <rPr>
        <b/>
        <sz val="12"/>
        <rFont val="Calibri"/>
        <family val="2"/>
        <scheme val="minor"/>
      </rPr>
      <t xml:space="preserve"> (By Company)</t>
    </r>
    <r>
      <rPr>
        <sz val="12"/>
        <rFont val="Calibri"/>
        <family val="2"/>
        <scheme val="minor"/>
      </rPr>
      <t xml:space="preserve">
 </t>
    </r>
  </si>
  <si>
    <r>
      <t xml:space="preserve">Trainer Local Travel At Actual </t>
    </r>
    <r>
      <rPr>
        <b/>
        <sz val="12"/>
        <rFont val="Calibri"/>
        <family val="2"/>
        <scheme val="minor"/>
      </rPr>
      <t xml:space="preserve"> (By Company)</t>
    </r>
  </si>
  <si>
    <r>
      <t xml:space="preserve">Trainer’s Accommodation </t>
    </r>
    <r>
      <rPr>
        <b/>
        <sz val="12"/>
        <rFont val="Calibri"/>
        <family val="2"/>
        <scheme val="minor"/>
      </rPr>
      <t>(By Company)</t>
    </r>
  </si>
  <si>
    <t xml:space="preserve">Piping Engineering  </t>
  </si>
  <si>
    <t xml:space="preserve">Electrical Training </t>
  </si>
  <si>
    <t xml:space="preserve">Civil &amp; Structural Training </t>
  </si>
  <si>
    <t xml:space="preserve">Email Received </t>
  </si>
  <si>
    <t xml:space="preserve">Company Authority - 
Mr. Biren Desai (General Manager -  Corporate HR)
   </t>
  </si>
  <si>
    <t>Mr. Parag Nikam</t>
  </si>
  <si>
    <t>Mob- 8169673434</t>
  </si>
  <si>
    <r>
      <rPr>
        <b/>
        <sz val="20"/>
        <color theme="1"/>
        <rFont val="Calibri"/>
        <family val="2"/>
        <scheme val="minor"/>
      </rPr>
      <t xml:space="preserve">Tata Consulting Engineers Ltd. - Jamshedpur &amp; Vadodara 
</t>
    </r>
    <r>
      <rPr>
        <b/>
        <sz val="20"/>
        <color rgb="FF00B0F0"/>
        <rFont val="Calibri"/>
        <family val="2"/>
        <scheme val="minor"/>
      </rPr>
      <t>UTKARSH 2026</t>
    </r>
    <r>
      <rPr>
        <b/>
        <sz val="20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: Unit No NB 1502 &amp; SB -1501 15th Floor, Empire Tower Cloud City Campus, Thane - Belapur Rd, Airoli, Navi Mumbai.</t>
    </r>
  </si>
  <si>
    <t>CT-008</t>
  </si>
  <si>
    <t>2nd June, 2025</t>
  </si>
  <si>
    <t>29th May, 2025</t>
  </si>
  <si>
    <r>
      <t xml:space="preserve">Participants Details : </t>
    </r>
    <r>
      <rPr>
        <sz val="12"/>
        <rFont val="Calibri"/>
        <family val="2"/>
        <scheme val="minor"/>
      </rPr>
      <t>UTKARSH Diploma 2026</t>
    </r>
  </si>
  <si>
    <r>
      <t xml:space="preserve">Piping, Electrical &amp; Civil Training 
Timing - 9 am to 5 pm (Monday To Saturday)
</t>
    </r>
    <r>
      <rPr>
        <b/>
        <sz val="12"/>
        <rFont val="Calibri"/>
        <family val="2"/>
        <scheme val="minor"/>
      </rPr>
      <t>Strating from 7th July To 31st July, 2025 - 22 Days</t>
    </r>
  </si>
  <si>
    <r>
      <t xml:space="preserve">Total Participants    : </t>
    </r>
    <r>
      <rPr>
        <sz val="12"/>
        <rFont val="Calibri"/>
        <family val="2"/>
        <scheme val="minor"/>
      </rPr>
      <t xml:space="preserve"> Diploma - 100 Nos.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(Each location)</t>
    </r>
  </si>
  <si>
    <r>
      <t xml:space="preserve">Training Location    : </t>
    </r>
    <r>
      <rPr>
        <sz val="12"/>
        <rFont val="Calibri"/>
        <family val="2"/>
        <scheme val="minor"/>
      </rPr>
      <t>TCE Office - Jamshedpur &amp; Vadodara</t>
    </r>
  </si>
  <si>
    <t xml:space="preserve">Training Presentation after completion of training
</t>
  </si>
  <si>
    <t>NA</t>
  </si>
  <si>
    <t>Including in above cost</t>
  </si>
  <si>
    <t xml:space="preserve">Assessment Preparation and Evaluation 2%
</t>
  </si>
  <si>
    <t>SIT Participation Certificate (To the participants attending Full Training)</t>
  </si>
  <si>
    <t>Not Applicable</t>
  </si>
  <si>
    <t>Per Day Cost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</si>
</sst>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3" fontId="2" fillId="0" borderId="8" xfId="0" applyNumberFormat="1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12" xfId="0" applyNumberFormat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1" fillId="0" borderId="20" xfId="0" applyFont="1" applyBorder="1" applyAlignment="1">
      <alignment vertical="top" wrapText="1"/>
    </xf>
    <xf numFmtId="0" fontId="2" fillId="0" borderId="13" xfId="1" applyFont="1" applyBorder="1"/>
    <xf numFmtId="0" fontId="8" fillId="0" borderId="5" xfId="0" applyFont="1" applyBorder="1" applyAlignment="1">
      <alignment horizontal="left"/>
    </xf>
    <xf numFmtId="0" fontId="1" fillId="0" borderId="23" xfId="0" applyFont="1" applyBorder="1" applyAlignment="1">
      <alignment vertical="top" wrapText="1"/>
    </xf>
    <xf numFmtId="0" fontId="2" fillId="0" borderId="4" xfId="1" applyFont="1" applyBorder="1"/>
    <xf numFmtId="0" fontId="8" fillId="0" borderId="8" xfId="0" applyFont="1" applyBorder="1"/>
    <xf numFmtId="0" fontId="9" fillId="0" borderId="9" xfId="1" applyFont="1" applyBorder="1"/>
    <xf numFmtId="0" fontId="2" fillId="0" borderId="10" xfId="1" applyFont="1" applyBorder="1"/>
    <xf numFmtId="0" fontId="8" fillId="0" borderId="11" xfId="0" applyFont="1" applyBorder="1"/>
    <xf numFmtId="0" fontId="9" fillId="0" borderId="12" xfId="1" applyFont="1" applyBorder="1"/>
    <xf numFmtId="0" fontId="1" fillId="0" borderId="27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7" borderId="8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30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left" vertical="center" wrapText="1"/>
    </xf>
    <xf numFmtId="3" fontId="2" fillId="0" borderId="3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3" fontId="3" fillId="3" borderId="35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5" xfId="0" applyFont="1" applyBorder="1"/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8" fillId="4" borderId="36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vertical="center" wrapText="1"/>
    </xf>
    <xf numFmtId="0" fontId="2" fillId="0" borderId="40" xfId="0" applyFont="1" applyBorder="1" applyAlignment="1">
      <alignment horizontal="left" vertical="center" wrapText="1"/>
    </xf>
    <xf numFmtId="0" fontId="3" fillId="3" borderId="41" xfId="0" applyFont="1" applyFill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3" borderId="37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3" fontId="2" fillId="0" borderId="33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3" fontId="2" fillId="0" borderId="38" xfId="0" quotePrefix="1" applyNumberFormat="1" applyFont="1" applyBorder="1" applyAlignment="1">
      <alignment horizontal="center" vertical="center" wrapText="1"/>
    </xf>
    <xf numFmtId="3" fontId="2" fillId="0" borderId="8" xfId="0" quotePrefix="1" applyNumberFormat="1" applyFont="1" applyBorder="1" applyAlignment="1">
      <alignment horizontal="center" vertical="center" wrapText="1"/>
    </xf>
    <xf numFmtId="3" fontId="2" fillId="0" borderId="11" xfId="0" quotePrefix="1" applyNumberFormat="1" applyFont="1" applyBorder="1" applyAlignment="1">
      <alignment horizontal="center" vertical="center" wrapText="1"/>
    </xf>
    <xf numFmtId="0" fontId="2" fillId="0" borderId="36" xfId="1" applyFont="1" applyBorder="1"/>
    <xf numFmtId="0" fontId="8" fillId="0" borderId="32" xfId="0" applyFont="1" applyBorder="1" applyAlignment="1">
      <alignment horizontal="left"/>
    </xf>
    <xf numFmtId="0" fontId="9" fillId="0" borderId="33" xfId="1" applyFont="1" applyBorder="1"/>
    <xf numFmtId="0" fontId="6" fillId="0" borderId="14" xfId="1" applyBorder="1"/>
    <xf numFmtId="3" fontId="2" fillId="0" borderId="8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3" fontId="2" fillId="0" borderId="9" xfId="0" applyNumberFormat="1" applyFont="1" applyBorder="1" applyAlignment="1">
      <alignment vertical="center" wrapText="1"/>
    </xf>
    <xf numFmtId="3" fontId="3" fillId="3" borderId="14" xfId="0" applyNumberFormat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0" fontId="3" fillId="2" borderId="45" xfId="0" applyFont="1" applyFill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top" wrapText="1"/>
    </xf>
    <xf numFmtId="3" fontId="2" fillId="3" borderId="46" xfId="0" applyNumberFormat="1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left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3" fontId="2" fillId="0" borderId="40" xfId="0" quotePrefix="1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8" fillId="7" borderId="5" xfId="0" quotePrefix="1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8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4" borderId="32" xfId="0" applyFont="1" applyFill="1" applyBorder="1" applyAlignment="1">
      <alignment horizontal="left" vertical="center"/>
    </xf>
    <xf numFmtId="0" fontId="8" fillId="4" borderId="33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8" xfId="0" quotePrefix="1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8" fillId="7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left" vertical="center"/>
    </xf>
    <xf numFmtId="0" fontId="1" fillId="0" borderId="20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8" fillId="7" borderId="30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3" fillId="7" borderId="29" xfId="0" applyFont="1" applyFill="1" applyBorder="1" applyAlignment="1">
      <alignment horizontal="left" vertical="top" wrapText="1"/>
    </xf>
    <xf numFmtId="0" fontId="3" fillId="7" borderId="30" xfId="0" applyFont="1" applyFill="1" applyBorder="1" applyAlignment="1">
      <alignment horizontal="left" vertical="top" wrapText="1"/>
    </xf>
    <xf numFmtId="0" fontId="8" fillId="8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0" fontId="3" fillId="0" borderId="13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8" fillId="7" borderId="14" xfId="0" quotePrefix="1" applyFont="1" applyFill="1" applyBorder="1" applyAlignment="1">
      <alignment horizontal="left" vertical="center"/>
    </xf>
    <xf numFmtId="0" fontId="8" fillId="4" borderId="9" xfId="0" quotePrefix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28577</xdr:rowOff>
    </xdr:from>
    <xdr:to>
      <xdr:col>2</xdr:col>
      <xdr:colOff>400050</xdr:colOff>
      <xdr:row>1</xdr:row>
      <xdr:rowOff>432763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9C22CFB1-4645-442E-823B-655224B4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228602"/>
          <a:ext cx="714374" cy="404186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314326</xdr:colOff>
      <xdr:row>45</xdr:row>
      <xdr:rowOff>1</xdr:rowOff>
    </xdr:from>
    <xdr:to>
      <xdr:col>4</xdr:col>
      <xdr:colOff>457200</xdr:colOff>
      <xdr:row>49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1551E-464B-497F-B237-F93670C0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10706101"/>
          <a:ext cx="1238249" cy="8000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oshmestry@suvidya.ac.in" TargetMode="External"/><Relationship Id="rId2" Type="http://schemas.openxmlformats.org/officeDocument/2006/relationships/hyperlink" Target="mailto:manasipanchal@suvidya.ac.in" TargetMode="External"/><Relationship Id="rId1" Type="http://schemas.openxmlformats.org/officeDocument/2006/relationships/hyperlink" Target="mailto:paragmestry@suvidya.ac.in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resicastelino@suvidy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"/>
  <sheetViews>
    <sheetView tabSelected="1" workbookViewId="0">
      <pane ySplit="9" topLeftCell="A10" activePane="bottomLeft" state="frozen"/>
      <selection pane="bottomLeft" activeCell="A52" sqref="A52:XFD79"/>
    </sheetView>
  </sheetViews>
  <sheetFormatPr defaultRowHeight="15" x14ac:dyDescent="0.25"/>
  <cols>
    <col min="1" max="1" width="3.85546875" customWidth="1"/>
    <col min="2" max="2" width="5.140625" customWidth="1"/>
    <col min="3" max="3" width="52.42578125" customWidth="1"/>
    <col min="4" max="4" width="16.42578125" customWidth="1"/>
    <col min="5" max="5" width="18" customWidth="1"/>
    <col min="6" max="6" width="29.85546875" customWidth="1"/>
  </cols>
  <sheetData>
    <row r="1" spans="1:6" ht="15.75" thickBot="1" x14ac:dyDescent="0.3"/>
    <row r="2" spans="1:6" s="1" customFormat="1" ht="72.75" customHeight="1" thickBot="1" x14ac:dyDescent="0.3">
      <c r="B2" s="81" t="s">
        <v>81</v>
      </c>
      <c r="C2" s="82"/>
      <c r="D2" s="82"/>
      <c r="E2" s="82"/>
      <c r="F2" s="83"/>
    </row>
    <row r="3" spans="1:6" s="1" customFormat="1" ht="18" customHeight="1" thickBot="1" x14ac:dyDescent="0.4">
      <c r="A3" s="6"/>
      <c r="B3" s="84" t="s">
        <v>4</v>
      </c>
      <c r="C3" s="85"/>
      <c r="D3" s="85"/>
      <c r="E3" s="85"/>
      <c r="F3" s="86"/>
    </row>
    <row r="4" spans="1:6" s="2" customFormat="1" ht="30.75" customHeight="1" x14ac:dyDescent="0.25">
      <c r="B4" s="87" t="s">
        <v>78</v>
      </c>
      <c r="C4" s="88"/>
      <c r="D4" s="26" t="s">
        <v>48</v>
      </c>
      <c r="E4" s="89" t="s">
        <v>82</v>
      </c>
      <c r="F4" s="124"/>
    </row>
    <row r="5" spans="1:6" s="2" customFormat="1" ht="15.95" customHeight="1" x14ac:dyDescent="0.25">
      <c r="B5" s="103" t="s">
        <v>85</v>
      </c>
      <c r="C5" s="104"/>
      <c r="D5" s="25" t="s">
        <v>45</v>
      </c>
      <c r="E5" s="105" t="s">
        <v>83</v>
      </c>
      <c r="F5" s="106"/>
    </row>
    <row r="6" spans="1:6" s="2" customFormat="1" ht="15.95" customHeight="1" x14ac:dyDescent="0.25">
      <c r="B6" s="103" t="s">
        <v>87</v>
      </c>
      <c r="C6" s="104"/>
      <c r="D6" s="25" t="s">
        <v>46</v>
      </c>
      <c r="E6" s="105" t="s">
        <v>77</v>
      </c>
      <c r="F6" s="106"/>
    </row>
    <row r="7" spans="1:6" s="2" customFormat="1" ht="15.95" customHeight="1" x14ac:dyDescent="0.25">
      <c r="B7" s="103" t="s">
        <v>62</v>
      </c>
      <c r="C7" s="104"/>
      <c r="D7" s="25" t="s">
        <v>47</v>
      </c>
      <c r="E7" s="105" t="s">
        <v>84</v>
      </c>
      <c r="F7" s="106"/>
    </row>
    <row r="8" spans="1:6" s="2" customFormat="1" ht="15.95" customHeight="1" thickBot="1" x14ac:dyDescent="0.3">
      <c r="B8" s="111" t="s">
        <v>88</v>
      </c>
      <c r="C8" s="112"/>
      <c r="D8" s="27" t="s">
        <v>49</v>
      </c>
      <c r="E8" s="109" t="s">
        <v>63</v>
      </c>
      <c r="F8" s="110"/>
    </row>
    <row r="9" spans="1:6" s="2" customFormat="1" ht="16.5" customHeight="1" thickBot="1" x14ac:dyDescent="0.3">
      <c r="B9" s="28"/>
      <c r="C9" s="29" t="s">
        <v>5</v>
      </c>
      <c r="D9" s="30"/>
      <c r="E9" s="113"/>
      <c r="F9" s="114"/>
    </row>
    <row r="10" spans="1:6" s="2" customFormat="1" ht="16.5" customHeight="1" x14ac:dyDescent="0.25">
      <c r="B10" s="118" t="s">
        <v>1</v>
      </c>
      <c r="C10" s="119" t="s">
        <v>51</v>
      </c>
      <c r="D10" s="33" t="s">
        <v>53</v>
      </c>
      <c r="E10" s="33" t="s">
        <v>95</v>
      </c>
      <c r="F10" s="34" t="s">
        <v>0</v>
      </c>
    </row>
    <row r="11" spans="1:6" s="2" customFormat="1" ht="48" customHeight="1" x14ac:dyDescent="0.25">
      <c r="B11" s="120"/>
      <c r="C11" s="115" t="s">
        <v>86</v>
      </c>
      <c r="D11" s="32"/>
      <c r="E11" s="66"/>
      <c r="F11" s="68"/>
    </row>
    <row r="12" spans="1:6" s="2" customFormat="1" ht="15.95" customHeight="1" x14ac:dyDescent="0.25">
      <c r="B12" s="120">
        <v>1</v>
      </c>
      <c r="C12" s="115" t="s">
        <v>64</v>
      </c>
      <c r="D12" s="3">
        <v>2</v>
      </c>
      <c r="E12" s="3">
        <v>50000</v>
      </c>
      <c r="F12" s="4">
        <f>D12*E12</f>
        <v>100000</v>
      </c>
    </row>
    <row r="13" spans="1:6" s="2" customFormat="1" ht="15.95" customHeight="1" x14ac:dyDescent="0.25">
      <c r="B13" s="121">
        <v>2</v>
      </c>
      <c r="C13" s="115" t="s">
        <v>74</v>
      </c>
      <c r="D13" s="3">
        <v>14</v>
      </c>
      <c r="E13" s="3">
        <v>50000</v>
      </c>
      <c r="F13" s="4">
        <f t="shared" ref="F13:F15" si="0">D13*E13</f>
        <v>700000</v>
      </c>
    </row>
    <row r="14" spans="1:6" s="2" customFormat="1" ht="15.95" customHeight="1" x14ac:dyDescent="0.25">
      <c r="B14" s="121"/>
      <c r="C14" s="115" t="s">
        <v>65</v>
      </c>
      <c r="D14" s="3">
        <v>6</v>
      </c>
      <c r="E14" s="3">
        <v>50000</v>
      </c>
      <c r="F14" s="4">
        <f t="shared" si="0"/>
        <v>300000</v>
      </c>
    </row>
    <row r="15" spans="1:6" s="2" customFormat="1" ht="15.95" customHeight="1" x14ac:dyDescent="0.25">
      <c r="B15" s="120">
        <v>3</v>
      </c>
      <c r="C15" s="115" t="s">
        <v>75</v>
      </c>
      <c r="D15" s="3">
        <v>20</v>
      </c>
      <c r="E15" s="3">
        <v>40000</v>
      </c>
      <c r="F15" s="4">
        <f t="shared" si="0"/>
        <v>800000</v>
      </c>
    </row>
    <row r="16" spans="1:6" s="2" customFormat="1" ht="15.95" customHeight="1" x14ac:dyDescent="0.25">
      <c r="B16" s="120">
        <v>4</v>
      </c>
      <c r="C16" s="115" t="s">
        <v>76</v>
      </c>
      <c r="D16" s="3">
        <v>20</v>
      </c>
      <c r="E16" s="3">
        <v>40000</v>
      </c>
      <c r="F16" s="4">
        <f t="shared" ref="F16" si="1">D16*E16</f>
        <v>800000</v>
      </c>
    </row>
    <row r="17" spans="2:6" s="2" customFormat="1" ht="15.95" customHeight="1" x14ac:dyDescent="0.25">
      <c r="B17" s="120">
        <v>5</v>
      </c>
      <c r="C17" s="116" t="s">
        <v>89</v>
      </c>
      <c r="D17" s="3" t="s">
        <v>90</v>
      </c>
      <c r="E17" s="3" t="s">
        <v>90</v>
      </c>
      <c r="F17" s="4" t="s">
        <v>91</v>
      </c>
    </row>
    <row r="18" spans="2:6" s="2" customFormat="1" ht="15.95" customHeight="1" x14ac:dyDescent="0.25">
      <c r="B18" s="120">
        <v>6</v>
      </c>
      <c r="C18" s="116" t="s">
        <v>92</v>
      </c>
      <c r="D18" s="3" t="s">
        <v>90</v>
      </c>
      <c r="E18" s="3" t="s">
        <v>90</v>
      </c>
      <c r="F18" s="4" t="s">
        <v>91</v>
      </c>
    </row>
    <row r="19" spans="2:6" s="2" customFormat="1" ht="15.95" customHeight="1" x14ac:dyDescent="0.25">
      <c r="B19" s="120">
        <v>7</v>
      </c>
      <c r="C19" s="117" t="s">
        <v>93</v>
      </c>
      <c r="D19" s="3" t="s">
        <v>90</v>
      </c>
      <c r="E19" s="3" t="s">
        <v>90</v>
      </c>
      <c r="F19" s="4" t="s">
        <v>94</v>
      </c>
    </row>
    <row r="20" spans="2:6" s="2" customFormat="1" ht="15.95" customHeight="1" thickBot="1" x14ac:dyDescent="0.3">
      <c r="B20" s="122"/>
      <c r="C20" s="123"/>
      <c r="D20" s="8"/>
      <c r="E20" s="8"/>
      <c r="F20" s="9"/>
    </row>
    <row r="21" spans="2:6" s="2" customFormat="1" ht="18" customHeight="1" x14ac:dyDescent="0.25">
      <c r="B21" s="67"/>
      <c r="C21" s="46" t="s">
        <v>59</v>
      </c>
      <c r="D21" s="31">
        <f>D11</f>
        <v>0</v>
      </c>
      <c r="E21" s="31">
        <f>E11</f>
        <v>0</v>
      </c>
      <c r="F21" s="57">
        <f>F12+F13+F14+F15+F20</f>
        <v>1900000</v>
      </c>
    </row>
    <row r="22" spans="2:6" s="2" customFormat="1" ht="18" customHeight="1" thickBot="1" x14ac:dyDescent="0.3">
      <c r="B22" s="5"/>
      <c r="C22" s="56" t="s">
        <v>66</v>
      </c>
      <c r="D22" s="38"/>
      <c r="E22" s="38"/>
      <c r="F22" s="9">
        <v>200000</v>
      </c>
    </row>
    <row r="23" spans="2:6" s="2" customFormat="1" ht="18" customHeight="1" x14ac:dyDescent="0.25">
      <c r="B23" s="5"/>
      <c r="C23" s="70" t="s">
        <v>67</v>
      </c>
      <c r="D23" s="71"/>
      <c r="E23" s="71"/>
      <c r="F23" s="72">
        <f>F21-F22</f>
        <v>1700000</v>
      </c>
    </row>
    <row r="24" spans="2:6" s="2" customFormat="1" ht="16.5" customHeight="1" x14ac:dyDescent="0.25">
      <c r="B24" s="7" t="s">
        <v>2</v>
      </c>
      <c r="C24" s="73" t="s">
        <v>57</v>
      </c>
      <c r="D24" s="32"/>
      <c r="E24" s="32"/>
      <c r="F24" s="35"/>
    </row>
    <row r="25" spans="2:6" s="2" customFormat="1" ht="15.95" customHeight="1" x14ac:dyDescent="0.25">
      <c r="B25" s="5">
        <v>1</v>
      </c>
      <c r="C25" s="74" t="s">
        <v>68</v>
      </c>
      <c r="D25" s="60" t="s">
        <v>56</v>
      </c>
      <c r="E25" s="59" t="s">
        <v>56</v>
      </c>
      <c r="F25" s="4" t="s">
        <v>69</v>
      </c>
    </row>
    <row r="26" spans="2:6" s="2" customFormat="1" ht="15.95" customHeight="1" x14ac:dyDescent="0.25">
      <c r="B26" s="5">
        <v>2</v>
      </c>
      <c r="C26" s="74" t="s">
        <v>70</v>
      </c>
      <c r="D26" s="60" t="s">
        <v>56</v>
      </c>
      <c r="E26" s="59" t="s">
        <v>56</v>
      </c>
      <c r="F26" s="4" t="s">
        <v>69</v>
      </c>
    </row>
    <row r="27" spans="2:6" s="2" customFormat="1" ht="15.95" customHeight="1" x14ac:dyDescent="0.25">
      <c r="B27" s="5">
        <v>3</v>
      </c>
      <c r="C27" s="74" t="s">
        <v>72</v>
      </c>
      <c r="D27" s="60" t="s">
        <v>56</v>
      </c>
      <c r="E27" s="59" t="s">
        <v>56</v>
      </c>
      <c r="F27" s="4" t="s">
        <v>69</v>
      </c>
    </row>
    <row r="28" spans="2:6" s="2" customFormat="1" ht="15.95" customHeight="1" x14ac:dyDescent="0.25">
      <c r="B28" s="5">
        <v>4</v>
      </c>
      <c r="C28" s="75" t="s">
        <v>71</v>
      </c>
      <c r="D28" s="60" t="s">
        <v>56</v>
      </c>
      <c r="E28" s="59" t="s">
        <v>56</v>
      </c>
      <c r="F28" s="4" t="s">
        <v>69</v>
      </c>
    </row>
    <row r="29" spans="2:6" s="2" customFormat="1" ht="15.95" customHeight="1" thickBot="1" x14ac:dyDescent="0.3">
      <c r="B29" s="5">
        <v>5</v>
      </c>
      <c r="C29" s="58" t="s">
        <v>73</v>
      </c>
      <c r="D29" s="61" t="s">
        <v>56</v>
      </c>
      <c r="E29" s="80" t="s">
        <v>56</v>
      </c>
      <c r="F29" s="9" t="s">
        <v>69</v>
      </c>
    </row>
    <row r="30" spans="2:6" s="2" customFormat="1" ht="18" customHeight="1" thickBot="1" x14ac:dyDescent="0.3">
      <c r="B30" s="5"/>
      <c r="C30" s="77" t="s">
        <v>58</v>
      </c>
      <c r="D30" s="78"/>
      <c r="E30" s="79"/>
      <c r="F30" s="76">
        <v>0</v>
      </c>
    </row>
    <row r="31" spans="2:6" s="2" customFormat="1" ht="16.5" customHeight="1" x14ac:dyDescent="0.25">
      <c r="B31" s="7"/>
      <c r="C31" s="55" t="s">
        <v>60</v>
      </c>
      <c r="D31" s="45"/>
      <c r="E31" s="45"/>
      <c r="F31" s="69">
        <f>F23-F30</f>
        <v>1700000</v>
      </c>
    </row>
    <row r="32" spans="2:6" s="2" customFormat="1" ht="16.5" customHeight="1" thickBot="1" x14ac:dyDescent="0.3">
      <c r="B32" s="5"/>
      <c r="C32" s="47" t="s">
        <v>3</v>
      </c>
      <c r="D32" s="38"/>
      <c r="E32" s="38"/>
      <c r="F32" s="9">
        <f>F31*18%</f>
        <v>306000</v>
      </c>
    </row>
    <row r="33" spans="2:6" s="2" customFormat="1" ht="15" customHeight="1" thickBot="1" x14ac:dyDescent="0.3">
      <c r="B33" s="7"/>
      <c r="C33" s="48" t="s">
        <v>52</v>
      </c>
      <c r="D33" s="36"/>
      <c r="E33" s="36"/>
      <c r="F33" s="37">
        <f>F31+F32</f>
        <v>2006000</v>
      </c>
    </row>
    <row r="34" spans="2:6" ht="20.100000000000001" customHeight="1" x14ac:dyDescent="0.25">
      <c r="B34" s="52" t="s">
        <v>16</v>
      </c>
      <c r="C34" s="49" t="s">
        <v>6</v>
      </c>
      <c r="D34" s="44" t="s">
        <v>23</v>
      </c>
      <c r="E34" s="96" t="s">
        <v>25</v>
      </c>
      <c r="F34" s="97"/>
    </row>
    <row r="35" spans="2:6" ht="27.75" customHeight="1" x14ac:dyDescent="0.25">
      <c r="B35" s="53">
        <v>1</v>
      </c>
      <c r="C35" s="50" t="s">
        <v>7</v>
      </c>
      <c r="D35" s="10" t="s">
        <v>24</v>
      </c>
      <c r="E35" s="98" t="s">
        <v>26</v>
      </c>
      <c r="F35" s="99"/>
    </row>
    <row r="36" spans="2:6" ht="30.75" customHeight="1" x14ac:dyDescent="0.25">
      <c r="B36" s="53">
        <v>2</v>
      </c>
      <c r="C36" s="50" t="s">
        <v>8</v>
      </c>
      <c r="D36" s="10" t="s">
        <v>27</v>
      </c>
      <c r="E36" s="100" t="s">
        <v>28</v>
      </c>
      <c r="F36" s="125"/>
    </row>
    <row r="37" spans="2:6" ht="31.5" customHeight="1" x14ac:dyDescent="0.25">
      <c r="B37" s="53">
        <v>3</v>
      </c>
      <c r="C37" s="50" t="s">
        <v>9</v>
      </c>
      <c r="D37" s="10" t="s">
        <v>29</v>
      </c>
      <c r="E37" s="98" t="s">
        <v>33</v>
      </c>
      <c r="F37" s="99"/>
    </row>
    <row r="38" spans="2:6" ht="20.100000000000001" customHeight="1" x14ac:dyDescent="0.25">
      <c r="B38" s="53">
        <v>4</v>
      </c>
      <c r="C38" s="50" t="s">
        <v>10</v>
      </c>
      <c r="D38" s="10" t="s">
        <v>30</v>
      </c>
      <c r="E38" s="98" t="s">
        <v>34</v>
      </c>
      <c r="F38" s="99"/>
    </row>
    <row r="39" spans="2:6" ht="28.5" customHeight="1" x14ac:dyDescent="0.25">
      <c r="B39" s="53">
        <v>5</v>
      </c>
      <c r="C39" s="50" t="s">
        <v>11</v>
      </c>
      <c r="D39" s="10" t="s">
        <v>31</v>
      </c>
      <c r="E39" s="98" t="s">
        <v>35</v>
      </c>
      <c r="F39" s="99"/>
    </row>
    <row r="40" spans="2:6" ht="30" customHeight="1" thickBot="1" x14ac:dyDescent="0.3">
      <c r="B40" s="54">
        <v>6</v>
      </c>
      <c r="C40" s="51" t="s">
        <v>12</v>
      </c>
      <c r="D40" s="11" t="s">
        <v>36</v>
      </c>
      <c r="E40" s="101" t="s">
        <v>37</v>
      </c>
      <c r="F40" s="102"/>
    </row>
    <row r="41" spans="2:6" ht="15.75" x14ac:dyDescent="0.25">
      <c r="B41" s="107" t="s">
        <v>17</v>
      </c>
      <c r="C41" s="12" t="s">
        <v>42</v>
      </c>
      <c r="D41" s="13" t="s">
        <v>79</v>
      </c>
      <c r="E41" s="14" t="s">
        <v>80</v>
      </c>
      <c r="F41" s="65" t="s">
        <v>61</v>
      </c>
    </row>
    <row r="42" spans="2:6" ht="15.75" x14ac:dyDescent="0.25">
      <c r="B42" s="108"/>
      <c r="C42" s="15"/>
      <c r="D42" s="62" t="s">
        <v>38</v>
      </c>
      <c r="E42" s="63" t="s">
        <v>44</v>
      </c>
      <c r="F42" s="64" t="s">
        <v>13</v>
      </c>
    </row>
    <row r="43" spans="2:6" ht="15.75" x14ac:dyDescent="0.25">
      <c r="B43" s="108"/>
      <c r="C43" s="15" t="s">
        <v>32</v>
      </c>
      <c r="D43" s="16" t="s">
        <v>40</v>
      </c>
      <c r="E43" s="17" t="s">
        <v>43</v>
      </c>
      <c r="F43" s="18" t="s">
        <v>14</v>
      </c>
    </row>
    <row r="44" spans="2:6" ht="16.5" thickBot="1" x14ac:dyDescent="0.3">
      <c r="B44" s="108"/>
      <c r="C44" s="15"/>
      <c r="D44" s="19" t="s">
        <v>41</v>
      </c>
      <c r="E44" s="20" t="s">
        <v>39</v>
      </c>
      <c r="F44" s="21" t="s">
        <v>15</v>
      </c>
    </row>
    <row r="45" spans="2:6" ht="15.75" x14ac:dyDescent="0.25">
      <c r="B45" s="22" t="s">
        <v>18</v>
      </c>
      <c r="C45" s="39" t="s">
        <v>54</v>
      </c>
      <c r="D45" s="90" t="s">
        <v>50</v>
      </c>
      <c r="E45" s="91"/>
      <c r="F45" s="92"/>
    </row>
    <row r="46" spans="2:6" ht="16.5" customHeight="1" x14ac:dyDescent="0.25">
      <c r="B46" s="23">
        <v>1</v>
      </c>
      <c r="C46" s="40" t="s">
        <v>55</v>
      </c>
      <c r="D46" s="126"/>
      <c r="E46" s="126"/>
      <c r="F46" s="93"/>
    </row>
    <row r="47" spans="2:6" ht="14.25" customHeight="1" x14ac:dyDescent="0.25">
      <c r="B47" s="23">
        <v>2</v>
      </c>
      <c r="C47" s="41" t="s">
        <v>19</v>
      </c>
      <c r="D47" s="126"/>
      <c r="E47" s="126"/>
      <c r="F47" s="93"/>
    </row>
    <row r="48" spans="2:6" ht="15.75" x14ac:dyDescent="0.25">
      <c r="B48" s="23">
        <v>3</v>
      </c>
      <c r="C48" s="42" t="s">
        <v>20</v>
      </c>
      <c r="D48" s="126"/>
      <c r="E48" s="126"/>
      <c r="F48" s="93"/>
    </row>
    <row r="49" spans="2:6" ht="15.75" x14ac:dyDescent="0.25">
      <c r="B49" s="23">
        <v>4</v>
      </c>
      <c r="C49" s="42" t="s">
        <v>21</v>
      </c>
      <c r="D49" s="126"/>
      <c r="E49" s="126"/>
      <c r="F49" s="93"/>
    </row>
    <row r="50" spans="2:6" ht="18.75" customHeight="1" thickBot="1" x14ac:dyDescent="0.3">
      <c r="B50" s="24">
        <v>5</v>
      </c>
      <c r="C50" s="43" t="s">
        <v>22</v>
      </c>
      <c r="D50" s="94"/>
      <c r="E50" s="94"/>
      <c r="F50" s="95"/>
    </row>
  </sheetData>
  <mergeCells count="23">
    <mergeCell ref="B41:B44"/>
    <mergeCell ref="E7:F7"/>
    <mergeCell ref="E8:F8"/>
    <mergeCell ref="B7:C7"/>
    <mergeCell ref="B8:C8"/>
    <mergeCell ref="E9:F9"/>
    <mergeCell ref="B13:B14"/>
    <mergeCell ref="B2:F2"/>
    <mergeCell ref="B3:F3"/>
    <mergeCell ref="B4:C4"/>
    <mergeCell ref="E4:F4"/>
    <mergeCell ref="D45:F50"/>
    <mergeCell ref="E34:F34"/>
    <mergeCell ref="E35:F35"/>
    <mergeCell ref="E36:F36"/>
    <mergeCell ref="E37:F37"/>
    <mergeCell ref="E38:F38"/>
    <mergeCell ref="E40:F40"/>
    <mergeCell ref="E39:F39"/>
    <mergeCell ref="B5:C5"/>
    <mergeCell ref="B6:C6"/>
    <mergeCell ref="E5:F5"/>
    <mergeCell ref="E6:F6"/>
  </mergeCells>
  <hyperlinks>
    <hyperlink ref="F41" r:id="rId1" xr:uid="{7D083923-2CA7-4582-B0B0-8BB8E86F2046}"/>
    <hyperlink ref="F43" r:id="rId2" xr:uid="{94C2F2A6-923B-4335-9386-9D2B601ADD46}"/>
    <hyperlink ref="F44" r:id="rId3" xr:uid="{75187A5F-F11E-4953-8DA0-B050B12BD67E}"/>
    <hyperlink ref="F42" r:id="rId4" xr:uid="{5577154F-FAA4-4608-B364-3F289F26E1E6}"/>
  </hyperlinks>
  <pageMargins left="0.43" right="0.24" top="0.52" bottom="0.21" header="0.44" footer="0.2"/>
  <pageSetup paperSize="9" scale="77" fitToHeight="0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 Castelino</dc:creator>
  <cp:lastModifiedBy>Presi Castelino</cp:lastModifiedBy>
  <cp:lastPrinted>2025-06-02T13:11:56Z</cp:lastPrinted>
  <dcterms:created xsi:type="dcterms:W3CDTF">2015-06-05T18:17:20Z</dcterms:created>
  <dcterms:modified xsi:type="dcterms:W3CDTF">2026-04-08T09:14:34Z</dcterms:modified>
</cp:coreProperties>
</file>